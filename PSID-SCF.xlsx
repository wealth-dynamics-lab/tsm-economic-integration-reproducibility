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. Wealth Levels" sheetId="1" r:id="rId5"/>
    <sheet state="visible" name="Table 2. Wealth Distribution" sheetId="2" r:id="rId6"/>
  </sheets>
  <definedNames/>
  <calcPr/>
</workbook>
</file>

<file path=xl/sharedStrings.xml><?xml version="1.0" encoding="utf-8"?>
<sst xmlns="http://schemas.openxmlformats.org/spreadsheetml/2006/main" count="54" uniqueCount="45">
  <si>
    <t>Table 1. PSID Wealth Levels 2013-2019</t>
  </si>
  <si>
    <t>Mean</t>
  </si>
  <si>
    <t>Median</t>
  </si>
  <si>
    <t>% positive</t>
  </si>
  <si>
    <t>Total wealth</t>
  </si>
  <si>
    <t>Net worth</t>
  </si>
  <si>
    <t>Net worth, excluding home equity</t>
  </si>
  <si>
    <t>Wealth components</t>
  </si>
  <si>
    <t>Business assets</t>
  </si>
  <si>
    <t>Checking/savings</t>
  </si>
  <si>
    <t>Stocks</t>
  </si>
  <si>
    <t>IRA/private annuities</t>
  </si>
  <si>
    <t>Net worth of vehicles</t>
  </si>
  <si>
    <t>Equity in primary residence</t>
  </si>
  <si>
    <t>Equity in real estate excluding primary residence</t>
  </si>
  <si>
    <t>Other assets</t>
  </si>
  <si>
    <t>Other debts</t>
  </si>
  <si>
    <t>SCF percentiles calculated using SCF public data and weights. PSID percentiles calculated using PSID and weights. For more information see Pfeffer et al (https://psidonline.isr.umich.edu/Publications/Papers/tsp/2014-03_%20Measuring_Wealth_and_Wealth_Inequality.pdf)</t>
  </si>
  <si>
    <t>Table 2. Net Worth Distribution 2007-2019</t>
  </si>
  <si>
    <t>Weighted Distributions</t>
  </si>
  <si>
    <t>PSID 2019</t>
  </si>
  <si>
    <t>PSID 2017</t>
  </si>
  <si>
    <t>PSID 2015</t>
  </si>
  <si>
    <t>PSID 2013</t>
  </si>
  <si>
    <t>PSID 2011</t>
  </si>
  <si>
    <t>PSID 2009</t>
  </si>
  <si>
    <t>PSID 2007</t>
  </si>
  <si>
    <t>SCF 2019</t>
  </si>
  <si>
    <t>SCF 2016</t>
  </si>
  <si>
    <t>SCF 2013</t>
  </si>
  <si>
    <t>SCF 2010</t>
  </si>
  <si>
    <t>SCF 2007</t>
  </si>
  <si>
    <t>Percentiles</t>
  </si>
  <si>
    <t>5th</t>
  </si>
  <si>
    <t>10th</t>
  </si>
  <si>
    <t>25th</t>
  </si>
  <si>
    <t>50th</t>
  </si>
  <si>
    <t>75th</t>
  </si>
  <si>
    <t>90th</t>
  </si>
  <si>
    <t>95th</t>
  </si>
  <si>
    <t>Percentile Ratios</t>
  </si>
  <si>
    <t>50/25</t>
  </si>
  <si>
    <t>90/50</t>
  </si>
  <si>
    <t>90/25</t>
  </si>
  <si>
    <t>SCF percentiles calculated using SCF public data and weights. PSID percentiles calculated using PSID and weights. For more information see Pfeffer et al (https://psidonline.isr.umich.edu/Publications/Papers/tsp/2014-03_%20Measuring_Wealth_and_Wealth_Inequality.pdf)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</si>
</sst>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General\%"/>
    <numFmt numFmtId="166" formatCode="_(* #,##0.00_);_(* \(#,##0.00\);_(* &quot;-&quot;??_);_(@_)"/>
    <numFmt numFmtId="167" formatCode="_(* #,##0_);_(* \(#,##0\);_(* &quot;-&quot;??_);_(@_)"/>
    <numFmt numFmtId="168" formatCode="#,##0.0"/>
    <numFmt numFmtId="169" formatCode="0.0"/>
  </numFmts>
  <fonts count="7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/>
    <font>
      <color theme="1"/>
      <name val="Calibri"/>
      <scheme val="minor"/>
    </font>
    <font>
      <sz val="10.0"/>
      <color rgb="FF222222"/>
      <name val="Arial"/>
    </font>
  </fonts>
  <fills count="2">
    <fill>
      <patternFill patternType="none"/>
    </fill>
    <fill>
      <patternFill patternType="lightGray"/>
    </fill>
  </fills>
  <borders count="27">
    <border/>
    <border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2" numFmtId="0" xfId="0" applyFont="1"/>
    <xf borderId="2" fillId="0" fontId="2" numFmtId="0" xfId="0" applyBorder="1" applyFont="1"/>
    <xf borderId="0" fillId="0" fontId="3" numFmtId="0" xfId="0" applyFont="1"/>
    <xf borderId="3" fillId="0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horizontal="right"/>
    </xf>
    <xf borderId="5" fillId="0" fontId="2" numFmtId="0" xfId="0" applyAlignment="1" applyBorder="1" applyFont="1">
      <alignment horizontal="center" shrinkToFit="0" wrapText="1"/>
    </xf>
    <xf borderId="6" fillId="0" fontId="4" numFmtId="0" xfId="0" applyBorder="1" applyFont="1"/>
    <xf borderId="7" fillId="0" fontId="4" numFmtId="0" xfId="0" applyBorder="1" applyFont="1"/>
    <xf borderId="8" fillId="0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6" fillId="0" fontId="2" numFmtId="0" xfId="0" applyBorder="1" applyFont="1"/>
    <xf borderId="5" fillId="0" fontId="2" numFmtId="0" xfId="0" applyBorder="1" applyFont="1"/>
    <xf borderId="11" fillId="0" fontId="2" numFmtId="0" xfId="0" applyBorder="1" applyFont="1"/>
    <xf borderId="7" fillId="0" fontId="2" numFmtId="0" xfId="0" applyBorder="1" applyFont="1"/>
    <xf borderId="9" fillId="0" fontId="2" numFmtId="164" xfId="0" applyBorder="1" applyFont="1" applyNumberFormat="1"/>
    <xf borderId="0" fillId="0" fontId="2" numFmtId="164" xfId="0" applyFont="1" applyNumberFormat="1"/>
    <xf borderId="8" fillId="0" fontId="2" numFmtId="164" xfId="0" applyBorder="1" applyFont="1" applyNumberFormat="1"/>
    <xf borderId="10" fillId="0" fontId="2" numFmtId="0" xfId="0" applyBorder="1" applyFont="1"/>
    <xf borderId="0" fillId="0" fontId="5" numFmtId="0" xfId="0" applyFont="1"/>
    <xf borderId="12" fillId="0" fontId="2" numFmtId="37" xfId="0" applyBorder="1" applyFont="1" applyNumberFormat="1"/>
    <xf borderId="0" fillId="0" fontId="2" numFmtId="37" xfId="0" applyFont="1" applyNumberFormat="1"/>
    <xf borderId="0" fillId="0" fontId="2" numFmtId="165" xfId="0" applyFont="1" applyNumberFormat="1"/>
    <xf borderId="8" fillId="0" fontId="2" numFmtId="37" xfId="0" applyBorder="1" applyFont="1" applyNumberFormat="1"/>
    <xf borderId="13" fillId="0" fontId="2" numFmtId="165" xfId="0" applyBorder="1" applyFont="1" applyNumberFormat="1"/>
    <xf borderId="12" fillId="0" fontId="2" numFmtId="37" xfId="0" applyAlignment="1" applyBorder="1" applyFont="1" applyNumberFormat="1">
      <alignment vertical="top"/>
    </xf>
    <xf borderId="0" fillId="0" fontId="2" numFmtId="37" xfId="0" applyAlignment="1" applyFont="1" applyNumberFormat="1">
      <alignment vertical="top"/>
    </xf>
    <xf borderId="0" fillId="0" fontId="2" numFmtId="3" xfId="0" applyAlignment="1" applyFont="1" applyNumberFormat="1">
      <alignment vertical="top"/>
    </xf>
    <xf borderId="0" fillId="0" fontId="2" numFmtId="9" xfId="0" applyFont="1" applyNumberFormat="1"/>
    <xf borderId="0" fillId="0" fontId="2" numFmtId="3" xfId="0" applyFont="1" applyNumberFormat="1"/>
    <xf borderId="14" fillId="0" fontId="2" numFmtId="37" xfId="0" applyBorder="1" applyFont="1" applyNumberFormat="1"/>
    <xf borderId="15" fillId="0" fontId="2" numFmtId="0" xfId="0" applyBorder="1" applyFont="1"/>
    <xf borderId="14" fillId="0" fontId="2" numFmtId="0" xfId="0" applyBorder="1" applyFont="1"/>
    <xf borderId="16" fillId="0" fontId="2" numFmtId="0" xfId="0" applyBorder="1" applyFont="1"/>
    <xf borderId="17" fillId="0" fontId="6" numFmtId="0" xfId="0" applyAlignment="1" applyBorder="1" applyFont="1">
      <alignment horizontal="left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2" numFmtId="0" xfId="0" applyBorder="1" applyFont="1"/>
    <xf borderId="0" fillId="0" fontId="2" numFmtId="0" xfId="0" applyAlignment="1" applyFont="1">
      <alignment horizontal="center" shrinkToFit="0" wrapText="1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3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borderId="13" fillId="0" fontId="2" numFmtId="0" xfId="0" applyBorder="1" applyFont="1"/>
    <xf borderId="21" fillId="0" fontId="2" numFmtId="0" xfId="0" applyBorder="1" applyFont="1"/>
    <xf borderId="6" fillId="0" fontId="2" numFmtId="0" xfId="0" applyAlignment="1" applyBorder="1" applyFont="1">
      <alignment horizontal="right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Alignment="1" applyBorder="1" applyFont="1">
      <alignment horizontal="right"/>
    </xf>
    <xf borderId="8" fillId="0" fontId="2" numFmtId="0" xfId="0" applyBorder="1" applyFont="1"/>
    <xf borderId="0" fillId="0" fontId="2" numFmtId="0" xfId="0" applyAlignment="1" applyFont="1">
      <alignment horizontal="left"/>
    </xf>
    <xf borderId="0" fillId="0" fontId="2" numFmtId="166" xfId="0" applyFont="1" applyNumberFormat="1"/>
    <xf borderId="0" fillId="0" fontId="2" numFmtId="167" xfId="0" applyFont="1" applyNumberFormat="1"/>
    <xf borderId="8" fillId="0" fontId="2" numFmtId="167" xfId="0" applyBorder="1" applyFont="1" applyNumberFormat="1"/>
    <xf borderId="13" fillId="0" fontId="2" numFmtId="167" xfId="0" applyBorder="1" applyFont="1" applyNumberFormat="1"/>
    <xf borderId="13" fillId="0" fontId="2" numFmtId="3" xfId="0" applyBorder="1" applyFont="1" applyNumberFormat="1"/>
    <xf borderId="0" fillId="0" fontId="2" numFmtId="16" xfId="0" applyFont="1" applyNumberFormat="1"/>
    <xf borderId="0" fillId="0" fontId="2" numFmtId="168" xfId="0" applyFont="1" applyNumberFormat="1"/>
    <xf borderId="0" fillId="0" fontId="2" numFmtId="169" xfId="0" applyAlignment="1" applyFont="1" applyNumberFormat="1">
      <alignment horizontal="right"/>
    </xf>
    <xf borderId="0" fillId="0" fontId="2" numFmtId="2" xfId="0" applyFont="1" applyNumberFormat="1"/>
    <xf borderId="13" fillId="0" fontId="2" numFmtId="2" xfId="0" applyBorder="1" applyFont="1" applyNumberFormat="1"/>
    <xf borderId="0" fillId="0" fontId="2" numFmtId="169" xfId="0" applyFont="1" applyNumberFormat="1"/>
    <xf borderId="12" fillId="0" fontId="2" numFmtId="0" xfId="0" applyBorder="1" applyFont="1"/>
    <xf borderId="25" fillId="0" fontId="6" numFmtId="0" xfId="0" applyAlignment="1" applyBorder="1" applyFont="1">
      <alignment horizontal="left" shrinkToFit="0" vertical="center" wrapText="1"/>
    </xf>
    <xf borderId="21" fillId="0" fontId="4" numFmtId="0" xfId="0" applyBorder="1" applyFont="1"/>
    <xf borderId="2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56"/>
    <col customWidth="1" min="2" max="2" width="41.89"/>
    <col customWidth="1" min="3" max="3" width="9.44"/>
    <col customWidth="1" min="4" max="4" width="11.44"/>
    <col customWidth="1" min="5" max="5" width="9.11"/>
    <col customWidth="1" min="6" max="6" width="2.44"/>
    <col customWidth="1" min="7" max="7" width="9.44"/>
    <col customWidth="1" min="8" max="8" width="11.44"/>
    <col customWidth="1" min="9" max="9" width="9.11"/>
    <col customWidth="1" min="10" max="10" width="2.44"/>
    <col customWidth="1" min="11" max="11" width="9.44"/>
    <col customWidth="1" min="12" max="12" width="11.44"/>
    <col customWidth="1" min="13" max="13" width="9.11"/>
    <col customWidth="1" min="14" max="14" width="2.44"/>
    <col customWidth="1" min="15" max="26" width="11.0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3"/>
      <c r="B3" s="3"/>
      <c r="C3" s="4"/>
      <c r="D3" s="5"/>
      <c r="E3" s="3"/>
      <c r="F3" s="6"/>
      <c r="G3" s="4"/>
      <c r="H3" s="5"/>
      <c r="I3" s="3"/>
      <c r="J3" s="6"/>
      <c r="K3" s="4"/>
      <c r="L3" s="5"/>
      <c r="M3" s="3"/>
      <c r="N3" s="6"/>
      <c r="O3" s="3"/>
      <c r="P3" s="3"/>
      <c r="Q3" s="7"/>
    </row>
    <row r="4">
      <c r="A4" s="3"/>
      <c r="B4" s="8"/>
      <c r="C4" s="9">
        <v>2019.0</v>
      </c>
      <c r="D4" s="10"/>
      <c r="E4" s="11"/>
      <c r="F4" s="12"/>
      <c r="G4" s="9">
        <v>2017.0</v>
      </c>
      <c r="H4" s="10"/>
      <c r="I4" s="11"/>
      <c r="J4" s="12"/>
      <c r="K4" s="9">
        <v>2015.0</v>
      </c>
      <c r="L4" s="10"/>
      <c r="M4" s="11"/>
      <c r="N4" s="12"/>
      <c r="O4" s="9">
        <v>2013.0</v>
      </c>
      <c r="P4" s="10"/>
      <c r="Q4" s="11"/>
    </row>
    <row r="5">
      <c r="A5" s="3"/>
      <c r="B5" s="3"/>
      <c r="C5" s="13" t="s">
        <v>1</v>
      </c>
      <c r="D5" s="14" t="s">
        <v>2</v>
      </c>
      <c r="E5" s="14" t="s">
        <v>3</v>
      </c>
      <c r="F5" s="15"/>
      <c r="G5" s="13" t="s">
        <v>1</v>
      </c>
      <c r="H5" s="14" t="s">
        <v>2</v>
      </c>
      <c r="I5" s="14" t="s">
        <v>3</v>
      </c>
      <c r="J5" s="15"/>
      <c r="K5" s="13" t="s">
        <v>1</v>
      </c>
      <c r="L5" s="14" t="s">
        <v>2</v>
      </c>
      <c r="M5" s="14" t="s">
        <v>3</v>
      </c>
      <c r="N5" s="15"/>
      <c r="O5" s="14" t="s">
        <v>1</v>
      </c>
      <c r="P5" s="14" t="s">
        <v>2</v>
      </c>
      <c r="Q5" s="16" t="s">
        <v>3</v>
      </c>
    </row>
    <row r="6">
      <c r="A6" s="17"/>
      <c r="B6" s="17"/>
      <c r="C6" s="18"/>
      <c r="D6" s="17"/>
      <c r="E6" s="17"/>
      <c r="F6" s="19"/>
      <c r="G6" s="18"/>
      <c r="H6" s="17"/>
      <c r="I6" s="17"/>
      <c r="J6" s="19"/>
      <c r="K6" s="18"/>
      <c r="L6" s="17"/>
      <c r="M6" s="17"/>
      <c r="N6" s="19"/>
      <c r="O6" s="17"/>
      <c r="P6" s="17"/>
      <c r="Q6" s="20"/>
    </row>
    <row r="7">
      <c r="A7" s="3"/>
      <c r="B7" s="3"/>
      <c r="C7" s="21"/>
      <c r="D7" s="22"/>
      <c r="E7" s="3"/>
      <c r="F7" s="23"/>
      <c r="G7" s="21"/>
      <c r="H7" s="22"/>
      <c r="I7" s="3"/>
      <c r="J7" s="23"/>
      <c r="K7" s="21"/>
      <c r="L7" s="22"/>
      <c r="M7" s="3"/>
      <c r="N7" s="23"/>
      <c r="O7" s="22"/>
      <c r="P7" s="22"/>
      <c r="Q7" s="24"/>
    </row>
    <row r="8">
      <c r="A8" s="25" t="s">
        <v>4</v>
      </c>
      <c r="C8" s="26"/>
      <c r="D8" s="27"/>
      <c r="E8" s="28"/>
      <c r="F8" s="29"/>
      <c r="G8" s="26"/>
      <c r="H8" s="27"/>
      <c r="I8" s="28"/>
      <c r="J8" s="29"/>
      <c r="K8" s="26"/>
      <c r="L8" s="27"/>
      <c r="M8" s="28"/>
      <c r="N8" s="29"/>
      <c r="O8" s="27"/>
      <c r="P8" s="27"/>
      <c r="Q8" s="30"/>
    </row>
    <row r="9">
      <c r="B9" s="25" t="s">
        <v>5</v>
      </c>
      <c r="C9" s="31">
        <v>382025.83</v>
      </c>
      <c r="D9" s="32">
        <v>76000.0</v>
      </c>
      <c r="E9" s="28">
        <v>76.0</v>
      </c>
      <c r="F9" s="29"/>
      <c r="G9" s="33">
        <v>352501.77</v>
      </c>
      <c r="H9" s="33">
        <v>65020.0</v>
      </c>
      <c r="I9" s="34">
        <v>77.0</v>
      </c>
      <c r="J9" s="29"/>
      <c r="K9" s="26">
        <v>364322.98</v>
      </c>
      <c r="L9" s="27">
        <v>60500.0</v>
      </c>
      <c r="M9" s="28">
        <v>74.0</v>
      </c>
      <c r="N9" s="29"/>
      <c r="O9" s="27">
        <v>316258.14</v>
      </c>
      <c r="P9" s="27">
        <v>54000.0</v>
      </c>
      <c r="Q9" s="30">
        <v>73.0</v>
      </c>
      <c r="R9" s="34"/>
      <c r="S9" s="34"/>
    </row>
    <row r="10">
      <c r="B10" s="25" t="s">
        <v>6</v>
      </c>
      <c r="C10" s="31">
        <v>263956.0</v>
      </c>
      <c r="D10" s="32">
        <v>20000.0</v>
      </c>
      <c r="E10" s="28">
        <v>71.0</v>
      </c>
      <c r="F10" s="29"/>
      <c r="G10" s="33">
        <v>247824.46</v>
      </c>
      <c r="H10" s="33">
        <v>19500.0</v>
      </c>
      <c r="I10" s="34">
        <v>71.0</v>
      </c>
      <c r="J10" s="29"/>
      <c r="K10" s="26">
        <v>267637.08</v>
      </c>
      <c r="L10" s="27">
        <v>18200.0</v>
      </c>
      <c r="M10" s="28">
        <v>69.0</v>
      </c>
      <c r="N10" s="29"/>
      <c r="O10" s="27">
        <v>229831.26</v>
      </c>
      <c r="P10" s="27">
        <v>18300.0</v>
      </c>
      <c r="Q10" s="30">
        <v>69.0</v>
      </c>
      <c r="R10" s="34"/>
      <c r="S10" s="34"/>
    </row>
    <row r="11">
      <c r="C11" s="26"/>
      <c r="D11" s="27"/>
      <c r="E11" s="28"/>
      <c r="F11" s="29"/>
      <c r="G11" s="35"/>
      <c r="H11" s="35"/>
      <c r="I11" s="34"/>
      <c r="J11" s="29"/>
      <c r="K11" s="26"/>
      <c r="L11" s="27"/>
      <c r="M11" s="28"/>
      <c r="N11" s="29"/>
      <c r="O11" s="27"/>
      <c r="P11" s="27"/>
      <c r="Q11" s="30"/>
    </row>
    <row r="12">
      <c r="A12" s="25" t="s">
        <v>7</v>
      </c>
      <c r="C12" s="26"/>
      <c r="D12" s="27"/>
      <c r="E12" s="28"/>
      <c r="F12" s="29"/>
      <c r="G12" s="35"/>
      <c r="H12" s="35"/>
      <c r="I12" s="34"/>
      <c r="J12" s="29"/>
      <c r="K12" s="26"/>
      <c r="L12" s="27"/>
      <c r="M12" s="28"/>
      <c r="N12" s="29"/>
      <c r="O12" s="27"/>
      <c r="P12" s="27"/>
      <c r="Q12" s="30"/>
    </row>
    <row r="13">
      <c r="B13" s="25" t="s">
        <v>8</v>
      </c>
      <c r="C13" s="26">
        <v>48479.07</v>
      </c>
      <c r="D13" s="27">
        <v>0.0</v>
      </c>
      <c r="E13" s="28">
        <v>5.0</v>
      </c>
      <c r="F13" s="29"/>
      <c r="G13" s="35">
        <v>49552.130000000005</v>
      </c>
      <c r="H13" s="35">
        <v>0.0</v>
      </c>
      <c r="I13" s="28">
        <v>6.0</v>
      </c>
      <c r="J13" s="29"/>
      <c r="K13" s="26">
        <v>61555.9</v>
      </c>
      <c r="L13" s="27">
        <v>0.0</v>
      </c>
      <c r="M13" s="28">
        <v>6.0</v>
      </c>
      <c r="N13" s="29"/>
      <c r="O13" s="27">
        <v>48372.15</v>
      </c>
      <c r="P13" s="27">
        <v>0.0</v>
      </c>
      <c r="Q13" s="30">
        <v>7.0</v>
      </c>
    </row>
    <row r="14">
      <c r="B14" s="25" t="s">
        <v>9</v>
      </c>
      <c r="C14" s="31">
        <v>35887.17</v>
      </c>
      <c r="D14" s="32">
        <v>5000.0</v>
      </c>
      <c r="E14" s="28">
        <v>76.0</v>
      </c>
      <c r="F14" s="29"/>
      <c r="G14" s="33">
        <v>32893.62</v>
      </c>
      <c r="H14" s="33">
        <v>4500.0</v>
      </c>
      <c r="I14" s="28">
        <v>82.0</v>
      </c>
      <c r="J14" s="29"/>
      <c r="K14" s="26">
        <v>29119.96</v>
      </c>
      <c r="L14" s="27">
        <v>3000.0</v>
      </c>
      <c r="M14" s="28">
        <v>66.0</v>
      </c>
      <c r="N14" s="29"/>
      <c r="O14" s="27">
        <v>29637.1</v>
      </c>
      <c r="P14" s="27">
        <v>3000.0</v>
      </c>
      <c r="Q14" s="30">
        <v>67.0</v>
      </c>
    </row>
    <row r="15">
      <c r="B15" s="25" t="s">
        <v>10</v>
      </c>
      <c r="C15" s="31">
        <v>59267.19</v>
      </c>
      <c r="D15" s="27">
        <v>0.0</v>
      </c>
      <c r="E15" s="28">
        <v>10.0</v>
      </c>
      <c r="F15" s="29"/>
      <c r="G15" s="33">
        <v>58259.62</v>
      </c>
      <c r="H15" s="35">
        <v>0.0</v>
      </c>
      <c r="I15" s="28">
        <v>11.0</v>
      </c>
      <c r="J15" s="29"/>
      <c r="K15" s="26">
        <v>66936.88</v>
      </c>
      <c r="L15" s="27">
        <v>0.0</v>
      </c>
      <c r="M15" s="28">
        <v>11.0</v>
      </c>
      <c r="N15" s="29"/>
      <c r="O15" s="27">
        <v>56759.48</v>
      </c>
      <c r="P15" s="27">
        <v>0.0</v>
      </c>
      <c r="Q15" s="30">
        <v>12.0</v>
      </c>
    </row>
    <row r="16">
      <c r="B16" s="25" t="s">
        <v>11</v>
      </c>
      <c r="C16" s="31">
        <v>67577.61</v>
      </c>
      <c r="D16" s="27">
        <v>0.0</v>
      </c>
      <c r="E16" s="28">
        <v>19.0</v>
      </c>
      <c r="F16" s="29"/>
      <c r="G16" s="33">
        <v>57567.86</v>
      </c>
      <c r="H16" s="35">
        <v>0.0</v>
      </c>
      <c r="I16" s="28">
        <v>18.0</v>
      </c>
      <c r="J16" s="29"/>
      <c r="K16" s="26">
        <v>61461.71</v>
      </c>
      <c r="L16" s="27">
        <v>0.0</v>
      </c>
      <c r="M16" s="28">
        <v>19.0</v>
      </c>
      <c r="N16" s="29"/>
      <c r="O16" s="27">
        <v>52452.09</v>
      </c>
      <c r="P16" s="27">
        <v>0.0</v>
      </c>
      <c r="Q16" s="30">
        <v>20.0</v>
      </c>
    </row>
    <row r="17">
      <c r="B17" s="25" t="s">
        <v>12</v>
      </c>
      <c r="C17" s="31">
        <v>17199.61</v>
      </c>
      <c r="D17" s="32">
        <v>9000.0</v>
      </c>
      <c r="E17" s="28">
        <v>78.0</v>
      </c>
      <c r="F17" s="29"/>
      <c r="G17" s="33">
        <v>16336.26</v>
      </c>
      <c r="H17" s="33">
        <v>8000.0</v>
      </c>
      <c r="I17" s="28">
        <v>78.0</v>
      </c>
      <c r="J17" s="29"/>
      <c r="K17" s="26">
        <v>14606.7</v>
      </c>
      <c r="L17" s="27">
        <v>8000.0</v>
      </c>
      <c r="M17" s="28">
        <v>79.0</v>
      </c>
      <c r="N17" s="29"/>
      <c r="O17" s="27">
        <v>14301.03</v>
      </c>
      <c r="P17" s="27">
        <v>8000.0</v>
      </c>
      <c r="Q17" s="30">
        <v>80.0</v>
      </c>
    </row>
    <row r="18">
      <c r="B18" s="25" t="s">
        <v>13</v>
      </c>
      <c r="C18" s="31">
        <v>118069.83</v>
      </c>
      <c r="D18" s="32">
        <v>35000.0</v>
      </c>
      <c r="E18" s="28">
        <v>49.0</v>
      </c>
      <c r="F18" s="29"/>
      <c r="G18" s="33">
        <v>104677.31</v>
      </c>
      <c r="H18" s="33">
        <v>28000.0</v>
      </c>
      <c r="I18" s="28">
        <v>49.0</v>
      </c>
      <c r="J18" s="29"/>
      <c r="K18" s="26">
        <v>96685.9</v>
      </c>
      <c r="L18" s="27">
        <v>25000.0</v>
      </c>
      <c r="M18" s="28">
        <v>48.0</v>
      </c>
      <c r="N18" s="29"/>
      <c r="O18" s="27">
        <v>86426.88</v>
      </c>
      <c r="P18" s="27">
        <v>15000.0</v>
      </c>
      <c r="Q18" s="30">
        <v>47.0</v>
      </c>
    </row>
    <row r="19">
      <c r="B19" s="25" t="s">
        <v>14</v>
      </c>
      <c r="C19" s="26">
        <v>34826.05</v>
      </c>
      <c r="D19" s="27">
        <v>0.0</v>
      </c>
      <c r="E19" s="28">
        <v>9.0</v>
      </c>
      <c r="F19" s="29"/>
      <c r="G19" s="35">
        <v>34198.64</v>
      </c>
      <c r="H19" s="35">
        <v>0.0</v>
      </c>
      <c r="I19" s="28">
        <v>9.0</v>
      </c>
      <c r="J19" s="29"/>
      <c r="K19" s="26">
        <v>35823.79</v>
      </c>
      <c r="L19" s="27">
        <v>0.0</v>
      </c>
      <c r="M19" s="28">
        <v>10.0</v>
      </c>
      <c r="N19" s="29"/>
      <c r="O19" s="27">
        <v>28560.86</v>
      </c>
      <c r="P19" s="27">
        <v>0.0</v>
      </c>
      <c r="Q19" s="30">
        <v>10.0</v>
      </c>
    </row>
    <row r="20">
      <c r="B20" s="25" t="s">
        <v>15</v>
      </c>
      <c r="C20" s="31">
        <v>13185.88</v>
      </c>
      <c r="D20" s="27">
        <v>0.0</v>
      </c>
      <c r="E20" s="28">
        <v>9.0</v>
      </c>
      <c r="F20" s="29"/>
      <c r="G20" s="33">
        <v>10524.86</v>
      </c>
      <c r="H20" s="35">
        <v>0.0</v>
      </c>
      <c r="I20" s="28">
        <v>9.0</v>
      </c>
      <c r="J20" s="29"/>
      <c r="K20" s="26">
        <v>9821.03</v>
      </c>
      <c r="L20" s="27">
        <v>0.0</v>
      </c>
      <c r="M20" s="28">
        <v>11.0</v>
      </c>
      <c r="N20" s="29"/>
      <c r="O20" s="27">
        <v>10335.25</v>
      </c>
      <c r="P20" s="27">
        <v>0.0</v>
      </c>
      <c r="Q20" s="30">
        <v>10.0</v>
      </c>
    </row>
    <row r="21">
      <c r="B21" s="25" t="s">
        <v>16</v>
      </c>
      <c r="C21" s="26">
        <v>12466.561696</v>
      </c>
      <c r="D21" s="27">
        <v>0.0</v>
      </c>
      <c r="E21" s="28">
        <v>68.0</v>
      </c>
      <c r="F21" s="29"/>
      <c r="G21" s="35">
        <v>11508.525322200001</v>
      </c>
      <c r="H21" s="35">
        <v>0.0</v>
      </c>
      <c r="I21" s="28">
        <v>70.0</v>
      </c>
      <c r="J21" s="29"/>
      <c r="K21" s="26">
        <v>11688.88</v>
      </c>
      <c r="L21" s="27">
        <v>0.0</v>
      </c>
      <c r="M21" s="28">
        <v>71.0</v>
      </c>
      <c r="N21" s="29"/>
      <c r="O21" s="27">
        <v>10586.69</v>
      </c>
      <c r="P21" s="27">
        <v>0.0</v>
      </c>
      <c r="Q21" s="30">
        <v>74.0</v>
      </c>
    </row>
    <row r="22">
      <c r="A22" s="2"/>
      <c r="B22" s="2"/>
      <c r="C22" s="36"/>
      <c r="D22" s="2"/>
      <c r="E22" s="2"/>
      <c r="F22" s="37"/>
      <c r="G22" s="38"/>
      <c r="H22" s="2"/>
      <c r="I22" s="2"/>
      <c r="J22" s="37"/>
      <c r="K22" s="38"/>
      <c r="L22" s="2"/>
      <c r="M22" s="2"/>
      <c r="N22" s="37"/>
      <c r="O22" s="2"/>
      <c r="P22" s="2"/>
      <c r="Q22" s="39"/>
    </row>
    <row r="23" ht="30.75" customHeight="1">
      <c r="A23" s="40" t="s">
        <v>17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2"/>
    </row>
    <row r="24">
      <c r="C24" s="3"/>
      <c r="G24" s="3"/>
      <c r="K24" s="3"/>
    </row>
    <row r="25">
      <c r="C25" s="3"/>
      <c r="G25" s="3"/>
      <c r="K25" s="3"/>
    </row>
    <row r="26">
      <c r="C26" s="3"/>
      <c r="G26" s="3"/>
      <c r="K26" s="3"/>
    </row>
    <row r="27">
      <c r="C27" s="3"/>
      <c r="G27" s="3"/>
      <c r="K27" s="3"/>
    </row>
    <row r="28">
      <c r="C28" s="3"/>
      <c r="G28" s="3"/>
      <c r="K28" s="3"/>
    </row>
    <row r="29">
      <c r="C29" s="3"/>
      <c r="G29" s="3"/>
      <c r="K29" s="3"/>
    </row>
    <row r="30">
      <c r="C30" s="3"/>
      <c r="G30" s="3"/>
      <c r="K30" s="3"/>
    </row>
  </sheetData>
  <mergeCells count="6">
    <mergeCell ref="A1:Q1"/>
    <mergeCell ref="C4:E4"/>
    <mergeCell ref="G4:I4"/>
    <mergeCell ref="K4:M4"/>
    <mergeCell ref="O4:Q4"/>
    <mergeCell ref="A23:Q2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56"/>
    <col customWidth="1" min="2" max="4" width="13.56"/>
    <col customWidth="1" min="5" max="8" width="12.22"/>
    <col customWidth="1" min="9" max="9" width="11.22"/>
    <col customWidth="1" min="10" max="10" width="1.89"/>
    <col customWidth="1" min="11" max="13" width="10.22"/>
    <col customWidth="1" min="14" max="15" width="13.0"/>
    <col customWidth="1" min="16" max="26" width="11.0"/>
  </cols>
  <sheetData>
    <row r="1">
      <c r="A1" s="1" t="s">
        <v>18</v>
      </c>
    </row>
    <row r="2">
      <c r="A2" s="3" t="s">
        <v>19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3"/>
      <c r="B4" s="3"/>
      <c r="C4" s="3"/>
      <c r="D4" s="43"/>
      <c r="E4" s="43"/>
      <c r="F4" s="3"/>
      <c r="G4" s="3"/>
      <c r="H4" s="3"/>
      <c r="I4" s="3"/>
      <c r="J4" s="6"/>
      <c r="K4" s="3"/>
      <c r="L4" s="3"/>
      <c r="M4" s="3"/>
      <c r="O4" s="7"/>
    </row>
    <row r="5">
      <c r="A5" s="3"/>
      <c r="B5" s="3"/>
      <c r="C5" s="44" t="s">
        <v>20</v>
      </c>
      <c r="D5" s="44" t="s">
        <v>21</v>
      </c>
      <c r="E5" s="44" t="s">
        <v>22</v>
      </c>
      <c r="F5" s="44" t="s">
        <v>23</v>
      </c>
      <c r="G5" s="44" t="s">
        <v>24</v>
      </c>
      <c r="H5" s="44" t="s">
        <v>25</v>
      </c>
      <c r="I5" s="44" t="s">
        <v>26</v>
      </c>
      <c r="J5" s="45"/>
      <c r="K5" s="44" t="s">
        <v>27</v>
      </c>
      <c r="L5" s="44" t="s">
        <v>28</v>
      </c>
      <c r="M5" s="44" t="s">
        <v>29</v>
      </c>
      <c r="N5" s="46" t="s">
        <v>30</v>
      </c>
      <c r="O5" s="47" t="s">
        <v>31</v>
      </c>
    </row>
    <row r="6">
      <c r="A6" s="17"/>
      <c r="B6" s="17"/>
      <c r="C6" s="17"/>
      <c r="D6" s="17"/>
      <c r="E6" s="48"/>
      <c r="F6" s="48"/>
      <c r="G6" s="48"/>
      <c r="H6" s="48"/>
      <c r="I6" s="48"/>
      <c r="J6" s="19"/>
      <c r="K6" s="44"/>
      <c r="L6" s="44"/>
      <c r="M6" s="44"/>
      <c r="O6" s="49"/>
    </row>
    <row r="7">
      <c r="A7" s="17"/>
      <c r="B7" s="17"/>
      <c r="C7" s="17"/>
      <c r="D7" s="50"/>
      <c r="E7" s="51"/>
      <c r="F7" s="51"/>
      <c r="G7" s="51"/>
      <c r="H7" s="51"/>
      <c r="I7" s="51"/>
      <c r="J7" s="19"/>
      <c r="K7" s="52"/>
      <c r="L7" s="50"/>
      <c r="M7" s="50"/>
      <c r="N7" s="50"/>
      <c r="O7" s="53"/>
    </row>
    <row r="8">
      <c r="A8" s="3"/>
      <c r="B8" s="3"/>
      <c r="C8" s="3"/>
      <c r="D8" s="3"/>
      <c r="E8" s="54"/>
      <c r="F8" s="8"/>
      <c r="G8" s="8"/>
      <c r="H8" s="8"/>
      <c r="I8" s="8"/>
      <c r="J8" s="55"/>
      <c r="O8" s="49"/>
    </row>
    <row r="9">
      <c r="A9" s="25" t="s">
        <v>32</v>
      </c>
      <c r="D9" s="3"/>
      <c r="E9" s="5"/>
      <c r="F9" s="5"/>
      <c r="G9" s="5"/>
      <c r="H9" s="3"/>
      <c r="I9" s="3"/>
      <c r="J9" s="55"/>
      <c r="O9" s="49"/>
    </row>
    <row r="10">
      <c r="B10" s="56" t="s">
        <v>33</v>
      </c>
      <c r="C10" s="57">
        <v>-23000.0</v>
      </c>
      <c r="D10" s="57">
        <v>-24500.0</v>
      </c>
      <c r="E10" s="58">
        <v>-29100.0</v>
      </c>
      <c r="F10" s="58">
        <v>-33000.0</v>
      </c>
      <c r="G10" s="58">
        <v>-32000.0</v>
      </c>
      <c r="H10" s="58">
        <v>-25500.0</v>
      </c>
      <c r="I10" s="58">
        <v>-11500.0</v>
      </c>
      <c r="J10" s="59"/>
      <c r="K10" s="58">
        <v>-24770.0</v>
      </c>
      <c r="L10" s="58">
        <v>-22935.13</v>
      </c>
      <c r="M10" s="58">
        <v>-23600.0</v>
      </c>
      <c r="N10" s="58">
        <v>-21200.0</v>
      </c>
      <c r="O10" s="60">
        <v>-6800.0</v>
      </c>
      <c r="Q10" s="35"/>
      <c r="R10" s="35"/>
    </row>
    <row r="11">
      <c r="B11" s="56" t="s">
        <v>34</v>
      </c>
      <c r="C11" s="57">
        <v>-3000.0</v>
      </c>
      <c r="D11" s="57">
        <v>-3497.0</v>
      </c>
      <c r="E11" s="58">
        <v>-7000.0</v>
      </c>
      <c r="F11" s="58">
        <v>-9500.0</v>
      </c>
      <c r="G11" s="58">
        <v>-9500.0</v>
      </c>
      <c r="H11" s="58">
        <v>-6300.0</v>
      </c>
      <c r="I11" s="58">
        <v>-946.0</v>
      </c>
      <c r="J11" s="59"/>
      <c r="K11" s="58">
        <v>-2849.0</v>
      </c>
      <c r="L11" s="58">
        <v>-4343.396</v>
      </c>
      <c r="M11" s="58">
        <v>-4600.0</v>
      </c>
      <c r="N11" s="58">
        <v>-3400.0</v>
      </c>
      <c r="O11" s="60">
        <v>0.0</v>
      </c>
      <c r="Q11" s="35"/>
      <c r="R11" s="35"/>
    </row>
    <row r="12">
      <c r="B12" s="56" t="s">
        <v>35</v>
      </c>
      <c r="C12" s="57">
        <v>5650.0</v>
      </c>
      <c r="D12" s="57">
        <v>5000.0</v>
      </c>
      <c r="E12" s="58">
        <v>3000.0</v>
      </c>
      <c r="F12" s="58">
        <v>2800.0</v>
      </c>
      <c r="G12" s="58">
        <v>2400.0</v>
      </c>
      <c r="H12" s="58">
        <v>2508.0</v>
      </c>
      <c r="I12" s="58"/>
      <c r="J12" s="59"/>
      <c r="K12" s="58">
        <v>8800.0</v>
      </c>
      <c r="L12" s="58">
        <v>6719.781</v>
      </c>
      <c r="M12" s="58">
        <v>6300.0</v>
      </c>
      <c r="N12" s="58">
        <v>6000.0</v>
      </c>
      <c r="O12" s="60">
        <v>10700.0</v>
      </c>
      <c r="Q12" s="35"/>
      <c r="R12" s="35"/>
    </row>
    <row r="13">
      <c r="B13" s="56" t="s">
        <v>36</v>
      </c>
      <c r="C13" s="57">
        <v>76000.0</v>
      </c>
      <c r="D13" s="57">
        <v>65020.0</v>
      </c>
      <c r="E13" s="58">
        <v>60500.0</v>
      </c>
      <c r="F13" s="58">
        <v>54000.0</v>
      </c>
      <c r="G13" s="58">
        <v>54500.0</v>
      </c>
      <c r="H13" s="58">
        <v>65050.0</v>
      </c>
      <c r="I13" s="58">
        <v>96700.0</v>
      </c>
      <c r="J13" s="59"/>
      <c r="K13" s="58">
        <v>96800.0</v>
      </c>
      <c r="L13" s="58">
        <v>76683.39</v>
      </c>
      <c r="M13" s="58">
        <v>64200.0</v>
      </c>
      <c r="N13" s="58">
        <v>62200.0</v>
      </c>
      <c r="O13" s="60">
        <v>101300.0</v>
      </c>
      <c r="Q13" s="35"/>
      <c r="R13" s="35"/>
    </row>
    <row r="14">
      <c r="B14" s="56" t="s">
        <v>37</v>
      </c>
      <c r="C14" s="57">
        <v>317000.0</v>
      </c>
      <c r="D14" s="57">
        <v>290000.0</v>
      </c>
      <c r="E14" s="58">
        <v>285200.0</v>
      </c>
      <c r="F14" s="58">
        <v>270000.0</v>
      </c>
      <c r="G14" s="58">
        <v>260000.0</v>
      </c>
      <c r="H14" s="58">
        <v>278200.0</v>
      </c>
      <c r="I14" s="58"/>
      <c r="J14" s="59"/>
      <c r="K14" s="58">
        <v>341130.0</v>
      </c>
      <c r="L14" s="58">
        <v>300942.3</v>
      </c>
      <c r="M14" s="58">
        <v>26200.0</v>
      </c>
      <c r="N14" s="58">
        <v>261700.0</v>
      </c>
      <c r="O14" s="60">
        <v>316100.0</v>
      </c>
      <c r="Q14" s="35"/>
      <c r="R14" s="35"/>
    </row>
    <row r="15">
      <c r="B15" s="56" t="s">
        <v>38</v>
      </c>
      <c r="C15" s="57">
        <v>900000.0</v>
      </c>
      <c r="D15" s="57">
        <v>840000.0</v>
      </c>
      <c r="E15" s="58">
        <v>880000.0</v>
      </c>
      <c r="F15" s="58">
        <v>790000.0</v>
      </c>
      <c r="G15" s="58">
        <v>761000.0</v>
      </c>
      <c r="H15" s="58">
        <v>755000.0</v>
      </c>
      <c r="I15" s="58">
        <v>860000.0</v>
      </c>
      <c r="J15" s="59"/>
      <c r="K15" s="58">
        <v>990500.0</v>
      </c>
      <c r="L15" s="58">
        <v>1004672.0</v>
      </c>
      <c r="M15" s="58">
        <v>794900.0</v>
      </c>
      <c r="N15" s="58">
        <v>820200.0</v>
      </c>
      <c r="O15" s="60">
        <v>800100.0</v>
      </c>
      <c r="Q15" s="35"/>
      <c r="R15" s="35"/>
    </row>
    <row r="16">
      <c r="B16" s="56" t="s">
        <v>39</v>
      </c>
      <c r="C16" s="57">
        <v>1660000.0</v>
      </c>
      <c r="D16" s="57">
        <v>1465000.0</v>
      </c>
      <c r="E16" s="58">
        <v>1590800.0</v>
      </c>
      <c r="F16" s="58">
        <v>1360000.0</v>
      </c>
      <c r="G16" s="58">
        <v>1331000.0</v>
      </c>
      <c r="H16" s="58">
        <v>1308000.0</v>
      </c>
      <c r="I16" s="58">
        <v>1468000.0</v>
      </c>
      <c r="J16" s="59"/>
      <c r="K16" s="58">
        <v>2203600.0</v>
      </c>
      <c r="L16" s="58">
        <v>2138348.0</v>
      </c>
      <c r="M16" s="58">
        <v>1676300.0</v>
      </c>
      <c r="N16" s="58">
        <v>1684400.0</v>
      </c>
      <c r="O16" s="60">
        <v>1608900.0</v>
      </c>
      <c r="Q16" s="35"/>
      <c r="R16" s="35"/>
    </row>
    <row r="17">
      <c r="D17" s="3"/>
      <c r="E17" s="3"/>
      <c r="F17" s="3"/>
      <c r="H17" s="3"/>
      <c r="I17" s="3"/>
      <c r="J17" s="55"/>
      <c r="O17" s="61"/>
      <c r="Q17" s="35"/>
      <c r="R17" s="35"/>
    </row>
    <row r="18">
      <c r="A18" s="25" t="s">
        <v>40</v>
      </c>
      <c r="E18" s="3"/>
      <c r="F18" s="3"/>
      <c r="H18" s="3"/>
      <c r="I18" s="3"/>
      <c r="J18" s="55"/>
      <c r="O18" s="61"/>
      <c r="Q18" s="35"/>
      <c r="R18" s="35"/>
    </row>
    <row r="19">
      <c r="B19" s="62" t="s">
        <v>41</v>
      </c>
      <c r="C19" s="63">
        <f t="shared" ref="C19:H19" si="1">C13/C12</f>
        <v>13.45132743</v>
      </c>
      <c r="D19" s="63">
        <f t="shared" si="1"/>
        <v>13.004</v>
      </c>
      <c r="E19" s="64">
        <f t="shared" si="1"/>
        <v>20.16666667</v>
      </c>
      <c r="F19" s="64">
        <f t="shared" si="1"/>
        <v>19.28571429</v>
      </c>
      <c r="G19" s="64">
        <f t="shared" si="1"/>
        <v>22.70833333</v>
      </c>
      <c r="H19" s="64">
        <f t="shared" si="1"/>
        <v>25.93700159</v>
      </c>
      <c r="I19" s="64"/>
      <c r="J19" s="55"/>
      <c r="K19" s="65">
        <f t="shared" ref="K19:O19" si="2">K13/K12</f>
        <v>11</v>
      </c>
      <c r="L19" s="65">
        <f t="shared" si="2"/>
        <v>11.41159065</v>
      </c>
      <c r="M19" s="65">
        <f t="shared" si="2"/>
        <v>10.19047619</v>
      </c>
      <c r="N19" s="65">
        <f t="shared" si="2"/>
        <v>10.36666667</v>
      </c>
      <c r="O19" s="66">
        <f t="shared" si="2"/>
        <v>9.46728972</v>
      </c>
      <c r="Q19" s="35"/>
      <c r="R19" s="35"/>
    </row>
    <row r="20">
      <c r="B20" s="25" t="s">
        <v>42</v>
      </c>
      <c r="C20" s="63">
        <f t="shared" ref="C20:I20" si="3">C15/C13</f>
        <v>11.84210526</v>
      </c>
      <c r="D20" s="63">
        <f t="shared" si="3"/>
        <v>12.91910181</v>
      </c>
      <c r="E20" s="67">
        <f t="shared" si="3"/>
        <v>14.54545455</v>
      </c>
      <c r="F20" s="67">
        <f t="shared" si="3"/>
        <v>14.62962963</v>
      </c>
      <c r="G20" s="67">
        <f t="shared" si="3"/>
        <v>13.96330275</v>
      </c>
      <c r="H20" s="67">
        <f t="shared" si="3"/>
        <v>11.60645657</v>
      </c>
      <c r="I20" s="67">
        <f t="shared" si="3"/>
        <v>8.893485005</v>
      </c>
      <c r="J20" s="55"/>
      <c r="K20" s="65">
        <f t="shared" ref="K20:O20" si="4">K15/K13</f>
        <v>10.23243802</v>
      </c>
      <c r="L20" s="65">
        <f t="shared" si="4"/>
        <v>13.10155954</v>
      </c>
      <c r="M20" s="65">
        <f t="shared" si="4"/>
        <v>12.38161994</v>
      </c>
      <c r="N20" s="65">
        <f t="shared" si="4"/>
        <v>13.18649518</v>
      </c>
      <c r="O20" s="66">
        <f t="shared" si="4"/>
        <v>7.898321816</v>
      </c>
      <c r="Q20" s="35"/>
      <c r="R20" s="35"/>
    </row>
    <row r="21">
      <c r="B21" s="25" t="s">
        <v>43</v>
      </c>
      <c r="C21" s="63">
        <f t="shared" ref="C21:H21" si="5">C15/C12</f>
        <v>159.2920354</v>
      </c>
      <c r="D21" s="63">
        <f t="shared" si="5"/>
        <v>168</v>
      </c>
      <c r="E21" s="64">
        <f t="shared" si="5"/>
        <v>293.3333333</v>
      </c>
      <c r="F21" s="64">
        <f t="shared" si="5"/>
        <v>282.1428571</v>
      </c>
      <c r="G21" s="64">
        <f t="shared" si="5"/>
        <v>317.0833333</v>
      </c>
      <c r="H21" s="64">
        <f t="shared" si="5"/>
        <v>301.0366826</v>
      </c>
      <c r="I21" s="64"/>
      <c r="J21" s="55"/>
      <c r="K21" s="65">
        <f t="shared" ref="K21:O21" si="6">K15/K12</f>
        <v>112.5568182</v>
      </c>
      <c r="L21" s="65">
        <f t="shared" si="6"/>
        <v>149.5096343</v>
      </c>
      <c r="M21" s="65">
        <f t="shared" si="6"/>
        <v>126.1746032</v>
      </c>
      <c r="N21" s="65">
        <f t="shared" si="6"/>
        <v>136.7</v>
      </c>
      <c r="O21" s="66">
        <f t="shared" si="6"/>
        <v>74.77570093</v>
      </c>
      <c r="Q21" s="35"/>
      <c r="R21" s="35"/>
    </row>
    <row r="22">
      <c r="A22" s="3"/>
      <c r="B22" s="3"/>
      <c r="C22" s="3"/>
      <c r="D22" s="17"/>
      <c r="E22" s="3"/>
      <c r="F22" s="3"/>
      <c r="G22" s="3"/>
      <c r="H22" s="3"/>
      <c r="I22" s="3"/>
      <c r="J22" s="55"/>
      <c r="K22" s="68"/>
      <c r="L22" s="17"/>
      <c r="M22" s="3"/>
      <c r="N22" s="3"/>
      <c r="O22" s="49"/>
      <c r="Q22" s="35"/>
      <c r="R22" s="35"/>
    </row>
    <row r="23" ht="30.75" customHeight="1">
      <c r="A23" s="69" t="s">
        <v>44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1"/>
    </row>
    <row r="24">
      <c r="Q24" s="35"/>
      <c r="R24" s="35"/>
    </row>
  </sheetData>
  <mergeCells count="3">
    <mergeCell ref="A1:O1"/>
    <mergeCell ref="A2:O2"/>
    <mergeCell ref="A23:O23"/>
  </mergeCells>
  <printOptions/>
  <pageMargins bottom="0.75" footer="0.0" header="0.0" left="0.7" right="0.7" top="0.75"/>
  <pageSetup orientation="portrait"/>
  <drawing r:id="rId1"/>
</worksheet>
</file>